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si\Desktop\APE\"/>
    </mc:Choice>
  </mc:AlternateContent>
  <xr:revisionPtr revIDLastSave="0" documentId="13_ncr:1_{1E6D9179-3657-464F-9EAB-EC8536948960}" xr6:coauthVersionLast="47" xr6:coauthVersionMax="47" xr10:uidLastSave="{00000000-0000-0000-0000-000000000000}"/>
  <bookViews>
    <workbookView xWindow="28680" yWindow="-120" windowWidth="29040" windowHeight="15720" xr2:uid="{4919C935-9CCD-4BF2-AB22-9767ACF45606}"/>
  </bookViews>
  <sheets>
    <sheet name="3-bogie 4WS" sheetId="1" r:id="rId1"/>
    <sheet name="tools" sheetId="3" r:id="rId2"/>
    <sheet name="hardware count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20" i="1"/>
  <c r="D18" i="1"/>
  <c r="D17" i="1"/>
  <c r="D16" i="1"/>
  <c r="D15" i="1"/>
  <c r="C41" i="1"/>
  <c r="D41" i="1" s="1"/>
  <c r="D24" i="1"/>
  <c r="D41" i="4"/>
  <c r="D47" i="4"/>
  <c r="D46" i="4"/>
  <c r="D45" i="4"/>
  <c r="D48" i="4" s="1"/>
  <c r="D43" i="4"/>
  <c r="D42" i="4"/>
  <c r="D40" i="4"/>
  <c r="D39" i="4"/>
  <c r="D38" i="4"/>
  <c r="D36" i="4"/>
  <c r="D35" i="4"/>
  <c r="D34" i="4"/>
  <c r="D32" i="4"/>
  <c r="D31" i="4"/>
  <c r="D33" i="4" s="1"/>
  <c r="D23" i="4"/>
  <c r="D24" i="4" s="1"/>
  <c r="D21" i="4"/>
  <c r="D22" i="4" s="1"/>
  <c r="D8" i="4"/>
  <c r="D9" i="4"/>
  <c r="D15" i="4"/>
  <c r="D30" i="4"/>
  <c r="D27" i="4"/>
  <c r="D28" i="4" s="1"/>
  <c r="D11" i="4"/>
  <c r="D12" i="4" s="1"/>
  <c r="D7" i="4"/>
  <c r="D3" i="4"/>
  <c r="D25" i="4"/>
  <c r="D26" i="4" s="1"/>
  <c r="D19" i="4"/>
  <c r="D20" i="4" s="1"/>
  <c r="D17" i="4"/>
  <c r="D18" i="4" s="1"/>
  <c r="D14" i="4"/>
  <c r="D13" i="4"/>
  <c r="D5" i="4"/>
  <c r="D6" i="4" s="1"/>
  <c r="D2" i="4"/>
  <c r="C40" i="1"/>
  <c r="C37" i="1"/>
  <c r="C39" i="1"/>
  <c r="D39" i="1" s="1"/>
  <c r="B40" i="1"/>
  <c r="C36" i="1"/>
  <c r="C38" i="1"/>
  <c r="D38" i="1" s="1"/>
  <c r="B37" i="1"/>
  <c r="C35" i="1"/>
  <c r="D35" i="1" s="1"/>
  <c r="D34" i="1"/>
  <c r="F49" i="1"/>
  <c r="C33" i="1"/>
  <c r="D33" i="1" s="1"/>
  <c r="B31" i="1"/>
  <c r="D31" i="1" s="1"/>
  <c r="D32" i="1"/>
  <c r="D25" i="1"/>
  <c r="D26" i="1"/>
  <c r="D27" i="1"/>
  <c r="D28" i="1"/>
  <c r="D29" i="1"/>
  <c r="D30" i="1"/>
  <c r="B23" i="1"/>
  <c r="D10" i="1"/>
  <c r="D47" i="1"/>
  <c r="D14" i="1"/>
  <c r="D40" i="1" l="1"/>
  <c r="D37" i="1"/>
  <c r="D44" i="4"/>
  <c r="D10" i="4"/>
  <c r="D37" i="4"/>
  <c r="D16" i="4"/>
  <c r="D4" i="4"/>
  <c r="D36" i="1"/>
  <c r="D5" i="1"/>
  <c r="D19" i="1"/>
  <c r="D12" i="1"/>
  <c r="D43" i="1"/>
  <c r="D8" i="1"/>
  <c r="D23" i="1"/>
  <c r="D22" i="1"/>
  <c r="C7" i="1"/>
  <c r="D7" i="1" s="1"/>
  <c r="D48" i="1" l="1"/>
  <c r="E48" i="1" s="1"/>
  <c r="D49" i="1" l="1"/>
  <c r="E49" i="1" s="1"/>
</calcChain>
</file>

<file path=xl/sharedStrings.xml><?xml version="1.0" encoding="utf-8"?>
<sst xmlns="http://schemas.openxmlformats.org/spreadsheetml/2006/main" count="157" uniqueCount="123">
  <si>
    <t>M3 X 12 Stainless Steel Hex Socket Cap Screw</t>
  </si>
  <si>
    <t>JGA25-370 DC Motor with encoder 6V 60 RPM</t>
  </si>
  <si>
    <t>Quantity</t>
  </si>
  <si>
    <t>Unit price</t>
  </si>
  <si>
    <t>Price</t>
  </si>
  <si>
    <t>M3x4x5 threaded insert</t>
  </si>
  <si>
    <t>Hex shaft coupling S:12mm L:18mm D:M4</t>
  </si>
  <si>
    <t>DC-DC Adjustable Step-down Buck Converter Module 12V-75V to 5/24/48V 600W 25A</t>
  </si>
  <si>
    <t>Lego 32298 Tire</t>
  </si>
  <si>
    <t>M3 X 6 Stainless Steel Hex Socket Cap Screw</t>
  </si>
  <si>
    <t>Filament</t>
  </si>
  <si>
    <t>https://www.bricklink.com/v2/catalog/catalogitem.page?P=32298#T=S&amp;C=11&amp;O={"color":11,"iconly":0}</t>
  </si>
  <si>
    <t>Wheels</t>
  </si>
  <si>
    <t>https://www.aliexpress.com/item/1005008766288833.html?spm=a2g0o.order_list.order_list_main.40.72e718027bD4Bx</t>
  </si>
  <si>
    <t>https://www.amazon.co.uk/PATIKIL-Threaded-Knurled-Printing-Components/dp/B0DJ8YBQK8/ref=sr_1_8?crid=1T3Y68NR0ROBM&amp;dib=eyJ2IjoiMSJ9.HZPZ4Iig_rcY29SGQq2kfg_yEPI9wTirKVD_DnclS3Tbd5M2wFkKIVhCpzKk1aTBgsEei8SAvopk1erHlYfQzKequowVkiKYkrzUoUyqueYufYbuKuiTLsvbvkCheU3rfzdiLPN3wiVg7xl4uAWG4bYu-Qnkzl1rP6H1WoV4jRXVOoQ7xtDeRhlpX2Vg88MS27lXpSmwFUMNvPFS6RJ25CVFS4OA9qe7bABNjuENz6Uh8hdh0HDQQRFUr-o6nvvdu3C4bqF8x8gDS9YpISKhBqBZv6G85u3BM7IlSqEsxuM.__SK1hAPFYNdjQRPT-dbtTuAKHxusvLDZgwvPsxFNM0&amp;dib_tag=se&amp;keywords=M3x4x5%2Bthreaded%2Binsert&amp;qid=1769041807&amp;sprefix=m3x4x5%2Bthreaded%2Binsert%2Caps%2C247&amp;sr=8-8&amp;th=1</t>
  </si>
  <si>
    <t>https://www.aliexpress.com/item/32794944304.html?spm=a2g0o.order_list.order_list_main.45.72e718027bD4Bx</t>
  </si>
  <si>
    <t>3D printer</t>
  </si>
  <si>
    <t>Incl. Shipping, at the time of compiling list</t>
  </si>
  <si>
    <t>https://www.ebay.co.uk/itm/156755864763</t>
  </si>
  <si>
    <t>Electronics</t>
  </si>
  <si>
    <t>Adafruit 16-Channel 12-bit PWM/Servo Shield - I2C interface</t>
  </si>
  <si>
    <t>https://thepihut.com/products/adafruit-16-channel-12-bit-pwm-servo-shield-i2c-interface</t>
  </si>
  <si>
    <t>Motors</t>
  </si>
  <si>
    <t>Wiring</t>
  </si>
  <si>
    <t>Battery</t>
  </si>
  <si>
    <t>Bambu Lab A1 3D Printer</t>
  </si>
  <si>
    <t>https://thepihut.com/products/towerpro-servo-motor-mg996r-metal-gear-180</t>
  </si>
  <si>
    <t>TowerPro Servo Motor - MG996R 180° (Metal Gear)</t>
  </si>
  <si>
    <t>Steering</t>
  </si>
  <si>
    <t>M3 X 10 Stainless Steel Hex Socket Cap Screw</t>
  </si>
  <si>
    <t>M3 X 40 Stainless Steel Hex Socket Cap Screw</t>
  </si>
  <si>
    <t>servo horn</t>
  </si>
  <si>
    <t>M3 X 30 Stainless Steel Hex Socket Cap Screw</t>
  </si>
  <si>
    <t>M3 Nut</t>
  </si>
  <si>
    <t>1600 USD = 1200 GBP</t>
  </si>
  <si>
    <t>https://www.aliexpress.com/item/1005009816599127.html?spm=a2g0o.productlist.main.2.35a63ba5v2LXtn&amp;algo_pvid=052ca4a3-911f-4c1e-839c-76f8fa88026e&amp;algo_exp_id=052ca4a3-911f-4c1e-839c-76f8fa88026e-1&amp;pdp_ext_f=%7B"order"%3A"-1"%2C"eval"%3A"1"%2C"fromPage"%3A"search"%7D&amp;pdp_npi=6%40dis%21GBP%2110.39%2110.39%21%21%2194.37%2194.37%21%40210384b917690434802528240eb28d%2112000050263367998%21sea%21UK%216332233678%21X%211%210%21n_tag%3A-29919%3Bd%3A6fe90632%3Bm03_new_user%3A-29895&amp;curPageLogUid=0YpVV11Uw3Cl&amp;utparam-url=scene%3Asearch%7Cquery_from%3A%7Cx_object_id%3A1005009816599127%7C_p_origin_prod%3A</t>
  </si>
  <si>
    <t>Miniature self-tapping crosshead metal screws M1.4 X 5</t>
  </si>
  <si>
    <t>https://www.amazon.co.uk/Assortment-Stainless-Replacement-Machine-Fastener/dp/B0B3MGZ7T2/ref=sr_1_1_sspa?crid=2YA70LZ3GVN8W&amp;dib=eyJ2IjoiMSJ9.F-HGHSuxgJ6LKI-VjQr8WD9-Jwpqf2Asubmg5V4iXt73IetO2njsZsZpJoqv2Pb5mOj59o7m1IDHhoCm8ANeLaTABZu8ISh0lsE6NCKuuTGMMw0fNcuKqS7_RtTxtVSWw1rzFmL93hkTEqXPGC4aMdRAkVFlS4p4z5YGk49jh6bRI8rQ0gusYOD1rxfnPqbCm0UELG1-Mku-h4ZYoudTQSB9f1TKahfl8V9u50Ujz1b5Y3lcFkSB3GM-97Tn8wiWBRBNdXqvfeIZ_bREKfuy8g6_ZWgpYZFMYxOBCsuL-MU.XMF3n8tVtXm33DseNmrpxWIiCukl_mhyxunAzi4Bq-o&amp;dib_tag=se&amp;keywords=440%2Bm3&amp;qid=1769043687&amp;sprefix=440%2Bm3%2Caps%2C170&amp;sr=8-1-spons&amp;aref=lIEsk1ixmK&amp;sp_csd=d2lkZ2V0TmFtZT1zcF9hdGY&amp;th=1</t>
  </si>
  <si>
    <t>Price of individual parts of a kit is calculated as price / number of items</t>
  </si>
  <si>
    <t>Component</t>
  </si>
  <si>
    <t>Comment</t>
  </si>
  <si>
    <t>Total w/ 3D printer</t>
  </si>
  <si>
    <t>Total w/o 3D printer</t>
  </si>
  <si>
    <t>Bearing 25x37x7mm</t>
  </si>
  <si>
    <t>https://www.amazon.co.uk/sourcing-map-25x37x7mm-Precision-Lubricated/dp/B0D756WMN6/ref=sxin_15_pa_sp_search_thematic_sspa?content-id=amzn1.sym.f4d967ac-9273-47bc-b62d-df6a53861cba%3Aamzn1.sym.f4d967ac-9273-47bc-b62d-df6a53861cba&amp;crid=P26QZTJ3TWVX&amp;cv_ct_cx=25id%2Bbearing&amp;keywords=25id%2Bbearing&amp;pd_rd_i=B0D756WMN6&amp;pd_rd_r=8c5bb10b-c3e5-499c-9e72-d9445624af3d&amp;pd_rd_w=c0RBJ&amp;pd_rd_wg=0gGaa&amp;pf_rd_p=f4d967ac-9273-47bc-b62d-df6a53861cba&amp;pf_rd_r=QW8VVQTNEHGQJ1H1Q8EV&amp;qid=1769044605&amp;sbo=RZvfv%2F%2FHxDF%2BO5021pAnSA%3D%3D&amp;sprefix=25id%2Bbearing%2Caps%2C149&amp;sr=1-5-ad3222ed-9545-4dc8-8dd8-6b2cb5278509-spons&amp;aref=4ekREG0AvT&amp;sp_csd=d2lkZ2V0TmFtZT1zcF9zZWFyY2hfdGhlbWF0aWM&amp;th=1</t>
  </si>
  <si>
    <t>Pan Head Brass Screw M4 x 12mm</t>
  </si>
  <si>
    <t>https://www.toolstation.com/pan-head-brass-screw/p53904?store=MB&amp;utm_source=googleshopping&amp;utm_medium=feed&amp;utm_campaign=googleshoppingfeed&amp;gad_source=1&amp;gad_campaignid=17806929345&amp;gclid=CjwKCAiAj8LLBhAkEiwAJjbY70qMYBkqPVhOV9Pqb0YToDtuBi89DyiwB30-Mgl99MDqMa8vxcKScRoC-nAQAvD_BwE</t>
  </si>
  <si>
    <t>6000-2RS Deep Groove Ball Bearings, ID 10mm x OD 26mm x Width 8mm</t>
  </si>
  <si>
    <t>https://www.amazon.co.uk/HiPicco-6000-2RS-Bearings-Bearing-Pre-Lubricated/dp/B0CH2XRNGJ/ref=sxin_15_pa_sp_search_thematic_sspa?content-id=amzn1.sym.f4d967ac-9273-47bc-b62d-df6a53861cba%3Aamzn1.sym.f4d967ac-9273-47bc-b62d-df6a53861cba&amp;crid=35BSRU1PHVRLI&amp;cv_ct_cx=26od%2Bbearing&amp;keywords=26od%2Bbearing&amp;pd_rd_i=B0CH2XRNGJ&amp;pd_rd_r=a2600b67-1050-48b0-bb2c-42921529c2f1&amp;pd_rd_w=4McIc&amp;pd_rd_wg=eOoew&amp;pf_rd_p=f4d967ac-9273-47bc-b62d-df6a53861cba&amp;pf_rd_r=MRJ4NZSCRCMG7CWNPV12&amp;qid=1769076009&amp;sbo=RZvfv%2F%2FHxDF%2BO5021pAnSA%3D%3D&amp;sprefix=26od%2Bbearin%2Caps%2C183&amp;sr=1-4-ad3222ed-9545-4dc8-8dd8-6b2cb5278509-spons&amp;aref=Uot030v3MN&amp;sp_csd=d2lkZ2V0TmFtZT1zcF9zZWFyY2hfdGhlbWF0aWM&amp;th=1</t>
  </si>
  <si>
    <t>URL</t>
  </si>
  <si>
    <t>or any other printer</t>
  </si>
  <si>
    <t>3D printed equivalent provided as alternative, this will reduce number of M3x12 cap srews and M3x4x5 inserts by 60 each</t>
  </si>
  <si>
    <t>higher rpm motors not recommended</t>
  </si>
  <si>
    <t>or equivalent</t>
  </si>
  <si>
    <t>Hardware and fasteners</t>
  </si>
  <si>
    <t>12V 6Ah LiFePO4 Battery</t>
  </si>
  <si>
    <t>2020 aluminium extrusion 1m</t>
  </si>
  <si>
    <t>or any other filament of choice</t>
  </si>
  <si>
    <t>https://www.ebay.co.uk/itm/352816257597?var=622098429634</t>
  </si>
  <si>
    <t>flat screwdriver</t>
  </si>
  <si>
    <t>philips screwdrivers - various sizes</t>
  </si>
  <si>
    <t>multimeter</t>
  </si>
  <si>
    <t>soldering iron</t>
  </si>
  <si>
    <t xml:space="preserve"> </t>
  </si>
  <si>
    <t>2.5mm hex key</t>
  </si>
  <si>
    <t>parts</t>
  </si>
  <si>
    <t>per part</t>
  </si>
  <si>
    <t>total</t>
  </si>
  <si>
    <t>M3x12</t>
  </si>
  <si>
    <t>M3 nut</t>
  </si>
  <si>
    <t>M3x40</t>
  </si>
  <si>
    <t>M3x30</t>
  </si>
  <si>
    <t>m3x6</t>
  </si>
  <si>
    <t>2020 Cast Aluminium V-Slot Extrusion L Shape Corner Joint Right Angle Bracket-UK</t>
  </si>
  <si>
    <t>https://www.ebay.co.uk/itm/227210906598?var=526410016032</t>
  </si>
  <si>
    <t>M5 Sliding T Nuts</t>
  </si>
  <si>
    <t>Stainless Steel Washers Flat Heavy Thin Thick Wide M5</t>
  </si>
  <si>
    <t>https://www.ebay.co.uk/itm/167710376070?var=467313689508</t>
  </si>
  <si>
    <t>https://www.amazon.co.uk/PATIKIL-Fastener-European-Standard-Extrusion/dp/B0DS2KLZ5L/ref=sr_1_11_sspa?sr=8-11-spons&amp;aref=mvWmtPrVm2&amp;sp_csd=d2lkZ2V0TmFtZT1zcF9tdGY</t>
  </si>
  <si>
    <t>Button Head Screws Hex Allen Socket Bolts Stainless Steel M5x8mm</t>
  </si>
  <si>
    <t>https://www.ebay.co.uk/itm/256844204399?_skw=m5+button+head+bolts&amp;itmmeta=01KHHQEDEAH8J32TMNVCB3ES6T&amp;hash=item3bcd1b896f%3Ag%3A3FYAAOSwJtdaNUVj&amp;itmprp=enc%3AAQALAAAA8GfYFPkwiKCW4ZNSs2u11xBcS0akHdc84UC8wm4v2nUuscXn49LwAkbqz6wpSnKxg%2B9cfShvCKXFnVYVMMYPNgdI5E%2BF2FkrOS%2FlmXK13upClhUow0213wjR8M5kBsag9PyQZRappcDjjuGFdl7cw5j1wFtzgk16Z2FaZksO0eIdqyHKlEPWMjoLF19WL8kCM%2BnOiudai%2BnfDJxZXAFQNy4pSrVDjpNwv4c60bAKqSA68fKgJuMaLnG3rurY95a5Ji%2FPhU3i%2Fk98VvGPSRPenqhVmZCCnQNrwREk3lx8qLKxSzVjwT2TL0awMYVEjj9xlA%3D%3D%7Ctkp%3ABk9SR6bXubeMZw&amp;var=557365128950</t>
  </si>
  <si>
    <t>Button Head Screws Hex Allen Socket Bolts Stainless Steel M5x10mm</t>
  </si>
  <si>
    <t>Button Head Screws Hex Allen Socket Bolts Stainless Steel M5x16mm</t>
  </si>
  <si>
    <t>can be replaced with steel M4x12</t>
  </si>
  <si>
    <t>part</t>
  </si>
  <si>
    <t>wheels</t>
  </si>
  <si>
    <t>servo bracket</t>
  </si>
  <si>
    <t>Sum</t>
  </si>
  <si>
    <t>M3x10</t>
  </si>
  <si>
    <t>M3x8</t>
  </si>
  <si>
    <t>motor to arm</t>
  </si>
  <si>
    <t>m4x12</t>
  </si>
  <si>
    <t>wheel to motor</t>
  </si>
  <si>
    <t>steering joint base</t>
  </si>
  <si>
    <t>steering joint shaft</t>
  </si>
  <si>
    <t>rotating joint</t>
  </si>
  <si>
    <t>steering joint to aluminium extrusion</t>
  </si>
  <si>
    <t>middle arm to aluminium extrusion</t>
  </si>
  <si>
    <t>M3x18</t>
  </si>
  <si>
    <t>M3x16</t>
  </si>
  <si>
    <t>m5x16</t>
  </si>
  <si>
    <t>m5x8</t>
  </si>
  <si>
    <t>m5 sliding t nut</t>
  </si>
  <si>
    <t>m3 hummer nut</t>
  </si>
  <si>
    <t>M3 X 8 Stainless Steel Hex Socket Cap Screw</t>
  </si>
  <si>
    <t>https://www.amazon.co.uk/ELEGOO-Filament-Dimensional-Accuracy-Cardboard/dp/B0CWNSMRTV/ref=sr_1_10?sr=8-10</t>
  </si>
  <si>
    <t>2020 Series M3 t Nuts</t>
  </si>
  <si>
    <t>https://www.amazon.co.uk/PATIKIL-100pcs-Fastener-Aluminum-Profile/dp/B0DS2JBMHB/ref=sr_1_3_sspa?sr=8-3-spons&amp;aref=YyQ72TvlFU&amp;sp_csd=d2lkZ2V0TmFtZT1zcF9hdGY</t>
  </si>
  <si>
    <t>Theseus - bill of material</t>
  </si>
  <si>
    <t>25M 22AWG 6 Core Flexible Electrical Extension Cable Wire DC 12V/24V</t>
  </si>
  <si>
    <t>https://www.ebay.co.uk/itm/127409063615?var=428503053974</t>
  </si>
  <si>
    <t>Adafruit Motor/Stepper/Servo Shield for Arduino v3 Kit</t>
  </si>
  <si>
    <t>ELEGOO UNO R3</t>
  </si>
  <si>
    <t>https://www.amazon.co.uk/ELEGOO-Arduino-Arduino-Compatible-Transfer-Operation/dp/B09JWFTZ2V/ref=sxin_21_pa_sp_search_thematic_sspa?cv_ct_cx=elegoo+uno&amp;sbo=RZvfv%2F%2FHxDF%2BO5021pAnSA%3D%3D&amp;sr=1-1-4ab648ba-44b3-436b-8ee5-705efb8a8e28-spons&amp;aref=BecnSTv5fk&amp;sp_csd=d2lkZ2V0TmFtZT1zcF9zZWFyY2hfdGhlbWF0aWM&amp;psc=1</t>
  </si>
  <si>
    <t>https://thepihut.com/products/adafruit-motor-stepper-servo-shield-for-arduino-v2-kit-v2-3</t>
  </si>
  <si>
    <t>Raspberry Pi Pico 2 W (with headers)</t>
  </si>
  <si>
    <t>https://thepihut.com/products/raspberry-pi-pico-2-w?variant=54063378760065</t>
  </si>
  <si>
    <t>High Efficiency Power Module 24V12V to 5V 5A DCDC Stepdown Power Converter</t>
  </si>
  <si>
    <t>https://www.ebay.co.uk/itm/205165861587?_skw=5v+5a+dcdc+converter&amp;itmmeta=01KKAQXR24Q1MPMFQJWFVYTDKJ&amp;hash=item2fc4d69ad3:g:PSQAAOSwzVZnXoB9&amp;itmprp=enc%3AAQALAAAA8GfYFPkwiKCW4ZNSs2u11xDnsyX1XwEHVS2IYIb0NNM2NYF8T28zuhTrY4FlULtGVHOl5qM17WAx%2BdBK5Niu2ZniTB8RSgNCTx7losXsOi6Z18jX0biuyNm3g5DMCyzAdiWmLCFUzPQ80Tl5QwP%2F3%2FxfCo9Z4jrXqjvDvtCSM1M7wiv8l%2FV6%2BGUzNqadzW0WbASCekXlL%2FATu5gY6RdLLSBIkmRvrfp8urbMxupWnaV5XNHWJg9WnMFBgZWqrKHoZx2N0ol9NOoAbLfTvHhbA9%2BMNVpdO28nv9pHQjMyoJq8yJ6gXjuafmcFTkScA2isHw%3D%3D%7Ctkp%3ABFBMxIL315pn</t>
  </si>
  <si>
    <t>Any battery that fits in boxed volume of 75mm x 190mm x 110mm can be fitted inside the rover with modification to battery compartment</t>
  </si>
  <si>
    <t>Half-Size Breadboard - White</t>
  </si>
  <si>
    <t>https://thepihut.com/products/raspberry-pi-breadboard-half-size</t>
  </si>
  <si>
    <t>ELEGOO PLA Filament 1.75mm 4kg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</si>
</sst>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&quot;£&quot;#,##0.0000"/>
    <numFmt numFmtId="166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1" fillId="4" borderId="1" xfId="0" applyFont="1" applyFill="1" applyBorder="1" applyAlignment="1">
      <alignment wrapText="1"/>
    </xf>
    <xf numFmtId="164" fontId="0" fillId="4" borderId="1" xfId="0" applyNumberFormat="1" applyFill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0" fontId="0" fillId="5" borderId="1" xfId="0" applyFill="1" applyBorder="1"/>
    <xf numFmtId="0" fontId="1" fillId="5" borderId="1" xfId="0" applyFont="1" applyFill="1" applyBorder="1"/>
    <xf numFmtId="165" fontId="0" fillId="0" borderId="1" xfId="0" applyNumberFormat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.uk/PATIKIL-Fastener-European-Standard-Extrusion/dp/B0DS2KLZ5L/ref=sr_1_11_sspa?sr=8-11-spons&amp;aref=mvWmtPrVm2&amp;sp_csd=d2lkZ2V0TmFtZT1zcF9td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7E1D-7FEB-4206-A1C7-1065EBC70EA9}">
  <dimension ref="A1:G49"/>
  <sheetViews>
    <sheetView tabSelected="1" topLeftCell="A13" zoomScaleNormal="100" workbookViewId="0">
      <selection activeCell="E19" sqref="E19"/>
    </sheetView>
  </sheetViews>
  <sheetFormatPr defaultRowHeight="15" x14ac:dyDescent="0.25"/>
  <cols>
    <col min="1" max="1" width="74" bestFit="1" customWidth="1"/>
    <col min="3" max="3" width="15.28515625" customWidth="1"/>
    <col min="4" max="4" width="14.7109375" customWidth="1"/>
    <col min="5" max="5" width="108.85546875" bestFit="1" customWidth="1"/>
    <col min="6" max="6" width="35.5703125" customWidth="1"/>
    <col min="7" max="7" width="255.7109375" bestFit="1" customWidth="1"/>
  </cols>
  <sheetData>
    <row r="1" spans="1:7" x14ac:dyDescent="0.25">
      <c r="A1" s="20" t="s">
        <v>108</v>
      </c>
      <c r="B1" s="19" t="s">
        <v>17</v>
      </c>
      <c r="C1" s="19"/>
      <c r="D1" s="19"/>
      <c r="E1" s="6"/>
      <c r="F1" s="6"/>
      <c r="G1" s="7"/>
    </row>
    <row r="2" spans="1:7" ht="30.75" customHeight="1" x14ac:dyDescent="0.25">
      <c r="A2" s="20"/>
      <c r="B2" s="19" t="s">
        <v>38</v>
      </c>
      <c r="C2" s="19"/>
      <c r="D2" s="19"/>
      <c r="E2" s="6"/>
      <c r="F2" s="6"/>
      <c r="G2" s="7"/>
    </row>
    <row r="3" spans="1:7" x14ac:dyDescent="0.25">
      <c r="A3" s="7" t="s">
        <v>39</v>
      </c>
      <c r="B3" s="7" t="s">
        <v>2</v>
      </c>
      <c r="C3" s="7" t="s">
        <v>3</v>
      </c>
      <c r="D3" s="7" t="s">
        <v>4</v>
      </c>
      <c r="E3" s="7" t="s">
        <v>40</v>
      </c>
      <c r="F3" s="7"/>
      <c r="G3" s="7" t="s">
        <v>49</v>
      </c>
    </row>
    <row r="4" spans="1:7" x14ac:dyDescent="0.25">
      <c r="A4" s="9" t="s">
        <v>12</v>
      </c>
      <c r="B4" s="10"/>
      <c r="C4" s="10"/>
      <c r="D4" s="10"/>
      <c r="E4" s="10"/>
      <c r="F4" s="10"/>
      <c r="G4" s="10"/>
    </row>
    <row r="5" spans="1:7" x14ac:dyDescent="0.25">
      <c r="A5" s="1" t="s">
        <v>8</v>
      </c>
      <c r="B5" s="1">
        <v>6</v>
      </c>
      <c r="C5" s="2">
        <v>4.5</v>
      </c>
      <c r="D5" s="2">
        <f>B5*C5</f>
        <v>27</v>
      </c>
      <c r="E5" s="2" t="s">
        <v>51</v>
      </c>
      <c r="F5" s="2"/>
      <c r="G5" s="1" t="s">
        <v>11</v>
      </c>
    </row>
    <row r="6" spans="1:7" x14ac:dyDescent="0.25">
      <c r="A6" s="9" t="s">
        <v>22</v>
      </c>
      <c r="B6" s="10"/>
      <c r="C6" s="10"/>
      <c r="D6" s="10"/>
      <c r="E6" s="10"/>
      <c r="F6" s="10"/>
      <c r="G6" s="10"/>
    </row>
    <row r="7" spans="1:7" x14ac:dyDescent="0.25">
      <c r="A7" s="1" t="s">
        <v>1</v>
      </c>
      <c r="B7" s="1">
        <v>6</v>
      </c>
      <c r="C7" s="2">
        <f>33.45/6</f>
        <v>5.5750000000000002</v>
      </c>
      <c r="D7" s="2">
        <f t="shared" ref="D7:D47" si="0">B7*C7</f>
        <v>33.450000000000003</v>
      </c>
      <c r="E7" s="2" t="s">
        <v>52</v>
      </c>
      <c r="F7" s="2"/>
      <c r="G7" s="1" t="s">
        <v>13</v>
      </c>
    </row>
    <row r="8" spans="1:7" x14ac:dyDescent="0.25">
      <c r="A8" s="1" t="s">
        <v>6</v>
      </c>
      <c r="B8" s="1">
        <v>6</v>
      </c>
      <c r="C8" s="2">
        <v>1.1299999999999999</v>
      </c>
      <c r="D8" s="2">
        <f>B8*C8</f>
        <v>6.7799999999999994</v>
      </c>
      <c r="E8" s="2"/>
      <c r="F8" s="2"/>
      <c r="G8" s="1" t="s">
        <v>15</v>
      </c>
    </row>
    <row r="9" spans="1:7" x14ac:dyDescent="0.25">
      <c r="A9" s="9" t="s">
        <v>28</v>
      </c>
      <c r="B9" s="10"/>
      <c r="C9" s="11"/>
      <c r="D9" s="11"/>
      <c r="E9" s="11"/>
      <c r="F9" s="11"/>
      <c r="G9" s="10"/>
    </row>
    <row r="10" spans="1:7" x14ac:dyDescent="0.25">
      <c r="A10" s="1" t="s">
        <v>27</v>
      </c>
      <c r="B10" s="1">
        <v>4</v>
      </c>
      <c r="C10" s="2">
        <v>9</v>
      </c>
      <c r="D10" s="2">
        <f t="shared" ref="D10" si="1">B10*C10</f>
        <v>36</v>
      </c>
      <c r="E10" s="2" t="s">
        <v>53</v>
      </c>
      <c r="F10" s="2"/>
      <c r="G10" s="1" t="s">
        <v>26</v>
      </c>
    </row>
    <row r="11" spans="1:7" x14ac:dyDescent="0.25">
      <c r="A11" s="9" t="s">
        <v>24</v>
      </c>
      <c r="B11" s="10"/>
      <c r="C11" s="10"/>
      <c r="D11" s="10"/>
      <c r="E11" s="10"/>
      <c r="F11" s="10"/>
      <c r="G11" s="10"/>
    </row>
    <row r="12" spans="1:7" ht="30" x14ac:dyDescent="0.25">
      <c r="A12" s="1" t="s">
        <v>55</v>
      </c>
      <c r="B12" s="1">
        <v>1</v>
      </c>
      <c r="C12" s="2">
        <v>19.989999999999998</v>
      </c>
      <c r="D12" s="2">
        <f t="shared" si="0"/>
        <v>19.989999999999998</v>
      </c>
      <c r="E12" s="18" t="s">
        <v>119</v>
      </c>
      <c r="F12" s="2"/>
      <c r="G12" s="1"/>
    </row>
    <row r="13" spans="1:7" x14ac:dyDescent="0.25">
      <c r="A13" s="9" t="s">
        <v>19</v>
      </c>
      <c r="B13" s="10"/>
      <c r="C13" s="11"/>
      <c r="D13" s="11"/>
      <c r="E13" s="11"/>
      <c r="F13" s="11"/>
      <c r="G13" s="10"/>
    </row>
    <row r="14" spans="1:7" x14ac:dyDescent="0.25">
      <c r="A14" s="1" t="s">
        <v>20</v>
      </c>
      <c r="B14" s="1">
        <v>1</v>
      </c>
      <c r="C14" s="3">
        <v>16.8</v>
      </c>
      <c r="D14" s="2">
        <f t="shared" si="0"/>
        <v>16.8</v>
      </c>
      <c r="E14" s="2"/>
      <c r="F14" s="2"/>
      <c r="G14" s="1" t="s">
        <v>21</v>
      </c>
    </row>
    <row r="15" spans="1:7" x14ac:dyDescent="0.25">
      <c r="A15" s="1" t="s">
        <v>111</v>
      </c>
      <c r="B15" s="1">
        <v>2</v>
      </c>
      <c r="C15" s="3">
        <v>19.2</v>
      </c>
      <c r="D15" s="2">
        <f t="shared" si="0"/>
        <v>38.4</v>
      </c>
      <c r="E15" s="2"/>
      <c r="F15" s="2"/>
      <c r="G15" s="1" t="s">
        <v>114</v>
      </c>
    </row>
    <row r="16" spans="1:7" x14ac:dyDescent="0.25">
      <c r="A16" s="1" t="s">
        <v>112</v>
      </c>
      <c r="B16" s="1">
        <v>1</v>
      </c>
      <c r="C16" s="3">
        <v>12.1</v>
      </c>
      <c r="D16" s="2">
        <f t="shared" si="0"/>
        <v>12.1</v>
      </c>
      <c r="E16" s="2"/>
      <c r="F16" s="2"/>
      <c r="G16" s="1" t="s">
        <v>113</v>
      </c>
    </row>
    <row r="17" spans="1:7" x14ac:dyDescent="0.25">
      <c r="A17" s="1" t="s">
        <v>115</v>
      </c>
      <c r="B17" s="1">
        <v>1</v>
      </c>
      <c r="C17" s="3">
        <v>7.7</v>
      </c>
      <c r="D17" s="2">
        <f t="shared" si="0"/>
        <v>7.7</v>
      </c>
      <c r="E17" s="2"/>
      <c r="F17" s="2"/>
      <c r="G17" s="1" t="s">
        <v>116</v>
      </c>
    </row>
    <row r="18" spans="1:7" x14ac:dyDescent="0.25">
      <c r="A18" s="1" t="s">
        <v>117</v>
      </c>
      <c r="B18" s="1">
        <v>1</v>
      </c>
      <c r="C18" s="3">
        <v>5.23</v>
      </c>
      <c r="D18" s="2">
        <f t="shared" si="0"/>
        <v>5.23</v>
      </c>
      <c r="E18" s="2"/>
      <c r="F18" s="2"/>
      <c r="G18" s="1" t="s">
        <v>118</v>
      </c>
    </row>
    <row r="19" spans="1:7" ht="30" x14ac:dyDescent="0.25">
      <c r="A19" s="4" t="s">
        <v>7</v>
      </c>
      <c r="B19" s="1">
        <v>1</v>
      </c>
      <c r="C19" s="2">
        <v>10.95</v>
      </c>
      <c r="D19" s="2">
        <f>B19*C19</f>
        <v>10.95</v>
      </c>
      <c r="E19" s="2" t="s">
        <v>53</v>
      </c>
      <c r="F19" s="2"/>
      <c r="G19" s="1" t="s">
        <v>18</v>
      </c>
    </row>
    <row r="20" spans="1:7" x14ac:dyDescent="0.25">
      <c r="A20" s="4" t="s">
        <v>120</v>
      </c>
      <c r="B20" s="1">
        <v>1</v>
      </c>
      <c r="C20" s="2">
        <v>3</v>
      </c>
      <c r="D20" s="2">
        <f>B20*C20</f>
        <v>3</v>
      </c>
      <c r="E20" s="2"/>
      <c r="F20" s="2"/>
      <c r="G20" s="1" t="s">
        <v>121</v>
      </c>
    </row>
    <row r="21" spans="1:7" x14ac:dyDescent="0.25">
      <c r="A21" s="12" t="s">
        <v>54</v>
      </c>
      <c r="B21" s="10"/>
      <c r="C21" s="11"/>
      <c r="D21" s="11"/>
      <c r="E21" s="11"/>
      <c r="F21" s="11"/>
      <c r="G21" s="10"/>
    </row>
    <row r="22" spans="1:7" x14ac:dyDescent="0.25">
      <c r="A22" s="1" t="s">
        <v>0</v>
      </c>
      <c r="B22" s="1">
        <v>60</v>
      </c>
      <c r="C22" s="2">
        <v>1.7899999999999999E-2</v>
      </c>
      <c r="D22" s="2">
        <f>B22*C22</f>
        <v>1.0739999999999998</v>
      </c>
      <c r="E22" s="2"/>
      <c r="F22" s="2"/>
      <c r="G22" s="1" t="s">
        <v>37</v>
      </c>
    </row>
    <row r="23" spans="1:7" x14ac:dyDescent="0.25">
      <c r="A23" s="1" t="s">
        <v>5</v>
      </c>
      <c r="B23" s="1">
        <f>60 + 32</f>
        <v>92</v>
      </c>
      <c r="C23" s="2">
        <v>4.3166999999999997E-2</v>
      </c>
      <c r="D23" s="2">
        <f>B23*C23</f>
        <v>3.9713639999999999</v>
      </c>
      <c r="E23" s="2"/>
      <c r="F23" s="2"/>
      <c r="G23" s="1" t="s">
        <v>14</v>
      </c>
    </row>
    <row r="24" spans="1:7" x14ac:dyDescent="0.25">
      <c r="A24" s="1" t="s">
        <v>104</v>
      </c>
      <c r="B24" s="1">
        <v>16</v>
      </c>
      <c r="C24" s="2">
        <v>1.7899999999999999E-2</v>
      </c>
      <c r="D24" s="2">
        <f>B24*C24</f>
        <v>0.28639999999999999</v>
      </c>
      <c r="E24" s="2"/>
      <c r="F24" s="2"/>
      <c r="G24" s="1" t="s">
        <v>37</v>
      </c>
    </row>
    <row r="25" spans="1:7" x14ac:dyDescent="0.25">
      <c r="A25" s="1" t="s">
        <v>29</v>
      </c>
      <c r="B25" s="1">
        <v>44</v>
      </c>
      <c r="C25" s="2">
        <v>1.7899999999999999E-2</v>
      </c>
      <c r="D25" s="2">
        <f t="shared" ref="D25:D39" si="2">B25*C25</f>
        <v>0.78759999999999997</v>
      </c>
      <c r="E25" s="2"/>
      <c r="F25" s="2"/>
      <c r="G25" s="1" t="s">
        <v>37</v>
      </c>
    </row>
    <row r="26" spans="1:7" x14ac:dyDescent="0.25">
      <c r="A26" s="1" t="s">
        <v>30</v>
      </c>
      <c r="B26" s="1">
        <v>4</v>
      </c>
      <c r="C26" s="2">
        <v>1.7899999999999999E-2</v>
      </c>
      <c r="D26" s="2">
        <f t="shared" si="2"/>
        <v>7.1599999999999997E-2</v>
      </c>
      <c r="E26" s="2"/>
      <c r="F26" s="2"/>
      <c r="G26" s="1" t="s">
        <v>37</v>
      </c>
    </row>
    <row r="27" spans="1:7" x14ac:dyDescent="0.25">
      <c r="A27" s="1" t="s">
        <v>32</v>
      </c>
      <c r="B27" s="1">
        <v>16</v>
      </c>
      <c r="C27" s="2">
        <v>1.7899999999999999E-2</v>
      </c>
      <c r="D27" s="2">
        <f t="shared" si="2"/>
        <v>0.28639999999999999</v>
      </c>
      <c r="E27" s="2"/>
      <c r="F27" s="2"/>
      <c r="G27" s="1" t="s">
        <v>37</v>
      </c>
    </row>
    <row r="28" spans="1:7" x14ac:dyDescent="0.25">
      <c r="A28" s="1" t="s">
        <v>33</v>
      </c>
      <c r="B28" s="1">
        <v>41</v>
      </c>
      <c r="C28" s="2">
        <v>1.7899999999999999E-2</v>
      </c>
      <c r="D28" s="2">
        <f t="shared" si="2"/>
        <v>0.7339</v>
      </c>
      <c r="E28" s="2"/>
      <c r="F28" s="2"/>
      <c r="G28" s="1" t="s">
        <v>37</v>
      </c>
    </row>
    <row r="29" spans="1:7" x14ac:dyDescent="0.25">
      <c r="A29" s="1" t="s">
        <v>45</v>
      </c>
      <c r="B29" s="1">
        <v>6</v>
      </c>
      <c r="C29" s="2">
        <v>0.03</v>
      </c>
      <c r="D29" s="2">
        <f t="shared" si="2"/>
        <v>0.18</v>
      </c>
      <c r="E29" s="2" t="s">
        <v>83</v>
      </c>
      <c r="F29" s="2"/>
      <c r="G29" s="1" t="s">
        <v>46</v>
      </c>
    </row>
    <row r="30" spans="1:7" x14ac:dyDescent="0.25">
      <c r="A30" s="1" t="s">
        <v>9</v>
      </c>
      <c r="B30" s="1">
        <v>12</v>
      </c>
      <c r="C30" s="2">
        <v>1.7899999999999999E-2</v>
      </c>
      <c r="D30" s="2">
        <f t="shared" si="2"/>
        <v>0.21479999999999999</v>
      </c>
      <c r="E30" s="2"/>
      <c r="F30" s="2"/>
      <c r="G30" s="1" t="s">
        <v>37</v>
      </c>
    </row>
    <row r="31" spans="1:7" x14ac:dyDescent="0.25">
      <c r="A31" s="1" t="s">
        <v>36</v>
      </c>
      <c r="B31" s="1">
        <f>8*4</f>
        <v>32</v>
      </c>
      <c r="C31" s="2">
        <v>9.9100000000000004E-3</v>
      </c>
      <c r="D31" s="2">
        <f t="shared" si="2"/>
        <v>0.31712000000000001</v>
      </c>
      <c r="E31" s="2"/>
      <c r="F31" s="2"/>
      <c r="G31" s="1" t="s">
        <v>35</v>
      </c>
    </row>
    <row r="32" spans="1:7" x14ac:dyDescent="0.25">
      <c r="A32" s="1" t="s">
        <v>43</v>
      </c>
      <c r="B32" s="1">
        <v>8</v>
      </c>
      <c r="C32" s="2">
        <v>1.5589999999999999</v>
      </c>
      <c r="D32" s="2">
        <f t="shared" si="2"/>
        <v>12.472</v>
      </c>
      <c r="E32" s="2"/>
      <c r="F32" s="2"/>
      <c r="G32" s="1" t="s">
        <v>44</v>
      </c>
    </row>
    <row r="33" spans="1:7" x14ac:dyDescent="0.25">
      <c r="A33" s="1" t="s">
        <v>47</v>
      </c>
      <c r="B33" s="1">
        <v>6</v>
      </c>
      <c r="C33" s="2">
        <f>9.99/10</f>
        <v>0.999</v>
      </c>
      <c r="D33" s="2">
        <f t="shared" si="2"/>
        <v>5.9939999999999998</v>
      </c>
      <c r="E33" s="2"/>
      <c r="F33" s="2"/>
      <c r="G33" s="1" t="s">
        <v>48</v>
      </c>
    </row>
    <row r="34" spans="1:7" x14ac:dyDescent="0.25">
      <c r="A34" s="1" t="s">
        <v>56</v>
      </c>
      <c r="B34" s="1">
        <v>4</v>
      </c>
      <c r="C34" s="2">
        <v>6.03</v>
      </c>
      <c r="D34" s="2">
        <f t="shared" si="2"/>
        <v>24.12</v>
      </c>
      <c r="E34" s="2"/>
      <c r="F34" s="2"/>
      <c r="G34" s="1" t="s">
        <v>58</v>
      </c>
    </row>
    <row r="35" spans="1:7" x14ac:dyDescent="0.25">
      <c r="A35" s="1" t="s">
        <v>73</v>
      </c>
      <c r="B35" s="1">
        <v>28</v>
      </c>
      <c r="C35" s="2">
        <f>9.19/50</f>
        <v>0.18379999999999999</v>
      </c>
      <c r="D35" s="2">
        <f t="shared" si="2"/>
        <v>5.1463999999999999</v>
      </c>
      <c r="E35" s="2"/>
      <c r="F35" s="2"/>
      <c r="G35" s="1" t="s">
        <v>74</v>
      </c>
    </row>
    <row r="36" spans="1:7" x14ac:dyDescent="0.25">
      <c r="A36" s="1" t="s">
        <v>75</v>
      </c>
      <c r="B36" s="1">
        <v>137</v>
      </c>
      <c r="C36" s="2">
        <f>8.69/100</f>
        <v>8.6899999999999991E-2</v>
      </c>
      <c r="D36" s="2">
        <f t="shared" si="2"/>
        <v>11.905299999999999</v>
      </c>
      <c r="E36" s="2"/>
      <c r="F36" s="2"/>
      <c r="G36" s="1" t="s">
        <v>78</v>
      </c>
    </row>
    <row r="37" spans="1:7" x14ac:dyDescent="0.25">
      <c r="A37" s="1" t="s">
        <v>81</v>
      </c>
      <c r="B37" s="1">
        <f>28*2</f>
        <v>56</v>
      </c>
      <c r="C37" s="2">
        <f>9.84/100</f>
        <v>9.8400000000000001E-2</v>
      </c>
      <c r="D37" s="2">
        <f t="shared" si="2"/>
        <v>5.5103999999999997</v>
      </c>
      <c r="E37" s="2"/>
      <c r="F37" s="2"/>
      <c r="G37" s="1" t="s">
        <v>80</v>
      </c>
    </row>
    <row r="38" spans="1:7" x14ac:dyDescent="0.25">
      <c r="A38" s="1" t="s">
        <v>76</v>
      </c>
      <c r="B38" s="1">
        <v>16</v>
      </c>
      <c r="C38" s="2">
        <f>4.25/100</f>
        <v>4.2500000000000003E-2</v>
      </c>
      <c r="D38" s="2">
        <f t="shared" si="2"/>
        <v>0.68</v>
      </c>
      <c r="E38" s="2"/>
      <c r="F38" s="2"/>
      <c r="G38" s="1" t="s">
        <v>77</v>
      </c>
    </row>
    <row r="39" spans="1:7" x14ac:dyDescent="0.25">
      <c r="A39" s="1" t="s">
        <v>82</v>
      </c>
      <c r="B39" s="1">
        <v>26</v>
      </c>
      <c r="C39" s="2">
        <f>9.84/100</f>
        <v>9.8400000000000001E-2</v>
      </c>
      <c r="D39" s="2">
        <f t="shared" si="2"/>
        <v>2.5584000000000002</v>
      </c>
      <c r="E39" s="2"/>
      <c r="F39" s="2"/>
      <c r="G39" s="1" t="s">
        <v>80</v>
      </c>
    </row>
    <row r="40" spans="1:7" x14ac:dyDescent="0.25">
      <c r="A40" s="1" t="s">
        <v>79</v>
      </c>
      <c r="B40" s="1">
        <f>81-26</f>
        <v>55</v>
      </c>
      <c r="C40" s="2">
        <f>9.84/100</f>
        <v>9.8400000000000001E-2</v>
      </c>
      <c r="D40" s="2">
        <f t="shared" ref="D40:D41" si="3">B40*C40</f>
        <v>5.4119999999999999</v>
      </c>
      <c r="E40" s="2"/>
      <c r="F40" s="2"/>
      <c r="G40" s="1" t="s">
        <v>80</v>
      </c>
    </row>
    <row r="41" spans="1:7" x14ac:dyDescent="0.25">
      <c r="A41" s="1" t="s">
        <v>106</v>
      </c>
      <c r="B41" s="1">
        <v>18</v>
      </c>
      <c r="C41" s="2">
        <f>8.59/100</f>
        <v>8.5900000000000004E-2</v>
      </c>
      <c r="D41" s="2">
        <f t="shared" si="3"/>
        <v>1.5462</v>
      </c>
      <c r="E41" s="2"/>
      <c r="F41" s="2"/>
      <c r="G41" s="1" t="s">
        <v>107</v>
      </c>
    </row>
    <row r="42" spans="1:7" x14ac:dyDescent="0.25">
      <c r="A42" s="9" t="s">
        <v>23</v>
      </c>
      <c r="B42" s="10"/>
      <c r="C42" s="13"/>
      <c r="D42" s="11"/>
      <c r="E42" s="11"/>
      <c r="F42" s="11"/>
      <c r="G42" s="10"/>
    </row>
    <row r="43" spans="1:7" x14ac:dyDescent="0.25">
      <c r="A43" s="1" t="s">
        <v>109</v>
      </c>
      <c r="B43" s="1">
        <v>1</v>
      </c>
      <c r="C43" s="2">
        <v>19.989999999999998</v>
      </c>
      <c r="D43" s="2">
        <f>B43*C43</f>
        <v>19.989999999999998</v>
      </c>
      <c r="E43" s="2"/>
      <c r="F43" s="2"/>
      <c r="G43" s="1" t="s">
        <v>110</v>
      </c>
    </row>
    <row r="44" spans="1:7" x14ac:dyDescent="0.25">
      <c r="A44" s="9" t="s">
        <v>10</v>
      </c>
      <c r="B44" s="10"/>
      <c r="C44" s="13"/>
      <c r="D44" s="11"/>
      <c r="E44" s="11"/>
      <c r="F44" s="11"/>
      <c r="G44" s="10"/>
    </row>
    <row r="45" spans="1:7" x14ac:dyDescent="0.25">
      <c r="A45" s="1" t="s">
        <v>122</v>
      </c>
      <c r="B45" s="1">
        <v>1</v>
      </c>
      <c r="C45" s="3">
        <v>33.96</v>
      </c>
      <c r="D45" s="2">
        <f t="shared" si="0"/>
        <v>33.96</v>
      </c>
      <c r="E45" s="2" t="s">
        <v>57</v>
      </c>
      <c r="F45" s="2"/>
      <c r="G45" s="1" t="s">
        <v>105</v>
      </c>
    </row>
    <row r="46" spans="1:7" ht="14.25" customHeight="1" x14ac:dyDescent="0.25">
      <c r="A46" s="9" t="s">
        <v>16</v>
      </c>
      <c r="B46" s="10"/>
      <c r="C46" s="13"/>
      <c r="D46" s="11"/>
      <c r="E46" s="11"/>
      <c r="F46" s="11"/>
      <c r="G46" s="10"/>
    </row>
    <row r="47" spans="1:7" x14ac:dyDescent="0.25">
      <c r="A47" s="1" t="s">
        <v>25</v>
      </c>
      <c r="B47" s="1">
        <v>1</v>
      </c>
      <c r="C47" s="3">
        <v>209</v>
      </c>
      <c r="D47" s="2">
        <f t="shared" si="0"/>
        <v>209</v>
      </c>
      <c r="E47" s="2" t="s">
        <v>50</v>
      </c>
      <c r="F47" s="2"/>
      <c r="G47" s="1"/>
    </row>
    <row r="48" spans="1:7" x14ac:dyDescent="0.25">
      <c r="A48" s="8" t="s">
        <v>41</v>
      </c>
      <c r="B48" s="8"/>
      <c r="C48" s="8"/>
      <c r="D48" s="14">
        <f>SUM(D4:D47)</f>
        <v>563.617884</v>
      </c>
      <c r="E48" s="15">
        <f>D48*1.33</f>
        <v>749.61178572000006</v>
      </c>
      <c r="F48" s="5" t="s">
        <v>34</v>
      </c>
      <c r="G48" s="1"/>
    </row>
    <row r="49" spans="1:7" x14ac:dyDescent="0.25">
      <c r="A49" s="8" t="s">
        <v>42</v>
      </c>
      <c r="B49" s="8"/>
      <c r="C49" s="8"/>
      <c r="D49" s="14">
        <f>D48-D47</f>
        <v>354.617884</v>
      </c>
      <c r="E49" s="15">
        <f>D49*1.33</f>
        <v>471.64178572000003</v>
      </c>
      <c r="F49" s="1">
        <f>1600/1200</f>
        <v>1.3333333333333333</v>
      </c>
      <c r="G49" s="1"/>
    </row>
  </sheetData>
  <mergeCells count="3">
    <mergeCell ref="B1:D1"/>
    <mergeCell ref="B2:D2"/>
    <mergeCell ref="A1:A2"/>
  </mergeCells>
  <hyperlinks>
    <hyperlink ref="G36" r:id="rId1" xr:uid="{6FFB1900-8E03-4AE2-909A-9A18C0BE145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5812-0DA5-415F-870E-8A423E7EF591}">
  <dimension ref="A1:B7"/>
  <sheetViews>
    <sheetView workbookViewId="0">
      <selection activeCell="A7" sqref="A7"/>
    </sheetView>
  </sheetViews>
  <sheetFormatPr defaultRowHeight="15" x14ac:dyDescent="0.25"/>
  <cols>
    <col min="1" max="1" width="32.42578125" bestFit="1" customWidth="1"/>
  </cols>
  <sheetData>
    <row r="1" spans="1:2" x14ac:dyDescent="0.25">
      <c r="A1" t="s">
        <v>60</v>
      </c>
    </row>
    <row r="2" spans="1:2" x14ac:dyDescent="0.25">
      <c r="A2" t="s">
        <v>59</v>
      </c>
    </row>
    <row r="3" spans="1:2" x14ac:dyDescent="0.25">
      <c r="A3" t="s">
        <v>61</v>
      </c>
    </row>
    <row r="4" spans="1:2" x14ac:dyDescent="0.25">
      <c r="A4" t="s">
        <v>62</v>
      </c>
    </row>
    <row r="5" spans="1:2" x14ac:dyDescent="0.25">
      <c r="A5" t="s">
        <v>64</v>
      </c>
    </row>
    <row r="7" spans="1:2" x14ac:dyDescent="0.25">
      <c r="B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5264-BE4C-45C2-88A0-E3BA7F3EB831}">
  <dimension ref="A1:E48"/>
  <sheetViews>
    <sheetView topLeftCell="A16" workbookViewId="0">
      <selection activeCell="I23" sqref="I23"/>
    </sheetView>
  </sheetViews>
  <sheetFormatPr defaultRowHeight="15" x14ac:dyDescent="0.25"/>
  <cols>
    <col min="1" max="1" width="51.140625" bestFit="1" customWidth="1"/>
    <col min="2" max="2" width="5.5703125" bestFit="1" customWidth="1"/>
    <col min="3" max="3" width="7.7109375" bestFit="1" customWidth="1"/>
    <col min="4" max="4" width="9.5703125" customWidth="1"/>
    <col min="5" max="5" width="33.5703125" bestFit="1" customWidth="1"/>
    <col min="6" max="8" width="9.5703125" customWidth="1"/>
    <col min="9" max="9" width="24.5703125" customWidth="1"/>
    <col min="12" max="12" width="30.42578125" bestFit="1" customWidth="1"/>
  </cols>
  <sheetData>
    <row r="1" spans="1:5" x14ac:dyDescent="0.25">
      <c r="A1" s="1" t="s">
        <v>84</v>
      </c>
      <c r="B1" s="1" t="s">
        <v>65</v>
      </c>
      <c r="C1" s="1" t="s">
        <v>66</v>
      </c>
      <c r="D1" s="1" t="s">
        <v>67</v>
      </c>
      <c r="E1" s="1" t="s">
        <v>84</v>
      </c>
    </row>
    <row r="2" spans="1:5" x14ac:dyDescent="0.25">
      <c r="A2" s="1" t="s">
        <v>5</v>
      </c>
      <c r="B2" s="1">
        <v>6</v>
      </c>
      <c r="C2" s="1">
        <v>10</v>
      </c>
      <c r="D2" s="1">
        <f>B2*C2</f>
        <v>60</v>
      </c>
      <c r="E2" s="1" t="s">
        <v>85</v>
      </c>
    </row>
    <row r="3" spans="1:5" x14ac:dyDescent="0.25">
      <c r="A3" s="1"/>
      <c r="B3" s="1">
        <v>4</v>
      </c>
      <c r="C3" s="1">
        <v>8</v>
      </c>
      <c r="D3" s="1">
        <f>B3*C3</f>
        <v>32</v>
      </c>
      <c r="E3" s="1" t="s">
        <v>93</v>
      </c>
    </row>
    <row r="4" spans="1:5" x14ac:dyDescent="0.25">
      <c r="A4" s="16"/>
      <c r="B4" s="16"/>
      <c r="C4" s="17" t="s">
        <v>87</v>
      </c>
      <c r="D4" s="16">
        <f>SUM(D2:D3)</f>
        <v>92</v>
      </c>
      <c r="E4" s="16"/>
    </row>
    <row r="5" spans="1:5" x14ac:dyDescent="0.25">
      <c r="A5" s="1" t="s">
        <v>68</v>
      </c>
      <c r="B5" s="1">
        <v>6</v>
      </c>
      <c r="C5" s="1">
        <v>10</v>
      </c>
      <c r="D5" s="1">
        <f>B5*C5</f>
        <v>60</v>
      </c>
      <c r="E5" s="1" t="s">
        <v>85</v>
      </c>
    </row>
    <row r="6" spans="1:5" x14ac:dyDescent="0.25">
      <c r="A6" s="16"/>
      <c r="B6" s="16"/>
      <c r="C6" s="17" t="s">
        <v>87</v>
      </c>
      <c r="D6" s="16">
        <f>SUM(D5:D5)</f>
        <v>60</v>
      </c>
      <c r="E6" s="16"/>
    </row>
    <row r="7" spans="1:5" x14ac:dyDescent="0.25">
      <c r="A7" s="1" t="s">
        <v>88</v>
      </c>
      <c r="B7" s="1">
        <v>4</v>
      </c>
      <c r="C7" s="1">
        <v>8</v>
      </c>
      <c r="D7" s="1">
        <f>B7*C7</f>
        <v>32</v>
      </c>
      <c r="E7" s="1" t="s">
        <v>93</v>
      </c>
    </row>
    <row r="8" spans="1:5" x14ac:dyDescent="0.25">
      <c r="A8" s="1"/>
      <c r="B8" s="1">
        <v>2</v>
      </c>
      <c r="C8" s="1">
        <v>2</v>
      </c>
      <c r="D8" s="1">
        <f>B8*C8</f>
        <v>4</v>
      </c>
      <c r="E8" s="1" t="s">
        <v>97</v>
      </c>
    </row>
    <row r="9" spans="1:5" x14ac:dyDescent="0.25">
      <c r="A9" s="1"/>
      <c r="B9" s="1">
        <v>4</v>
      </c>
      <c r="C9" s="1">
        <v>2</v>
      </c>
      <c r="D9" s="1">
        <f>B9*C9</f>
        <v>8</v>
      </c>
      <c r="E9" s="1" t="s">
        <v>96</v>
      </c>
    </row>
    <row r="10" spans="1:5" x14ac:dyDescent="0.25">
      <c r="A10" s="16"/>
      <c r="B10" s="16"/>
      <c r="C10" s="17" t="s">
        <v>87</v>
      </c>
      <c r="D10" s="16">
        <f>SUM(D7:D9)</f>
        <v>44</v>
      </c>
      <c r="E10" s="16"/>
    </row>
    <row r="11" spans="1:5" x14ac:dyDescent="0.25">
      <c r="A11" s="1" t="s">
        <v>89</v>
      </c>
      <c r="B11" s="1">
        <v>4</v>
      </c>
      <c r="C11" s="1">
        <v>4</v>
      </c>
      <c r="D11" s="1">
        <f>B11*C11</f>
        <v>16</v>
      </c>
      <c r="E11" s="1" t="s">
        <v>86</v>
      </c>
    </row>
    <row r="12" spans="1:5" x14ac:dyDescent="0.25">
      <c r="A12" s="16"/>
      <c r="B12" s="16"/>
      <c r="C12" s="17" t="s">
        <v>87</v>
      </c>
      <c r="D12" s="16">
        <f>SUM(D11:D11)</f>
        <v>16</v>
      </c>
      <c r="E12" s="16"/>
    </row>
    <row r="13" spans="1:5" x14ac:dyDescent="0.25">
      <c r="A13" s="1" t="s">
        <v>69</v>
      </c>
      <c r="B13" s="1">
        <v>4</v>
      </c>
      <c r="C13" s="1">
        <v>4</v>
      </c>
      <c r="D13" s="1">
        <f>B13*C13</f>
        <v>16</v>
      </c>
      <c r="E13" s="1" t="s">
        <v>86</v>
      </c>
    </row>
    <row r="14" spans="1:5" x14ac:dyDescent="0.25">
      <c r="A14" s="1"/>
      <c r="B14" s="1">
        <v>4</v>
      </c>
      <c r="C14" s="1">
        <v>4</v>
      </c>
      <c r="D14" s="1">
        <f>B14*C14</f>
        <v>16</v>
      </c>
      <c r="E14" s="1" t="s">
        <v>94</v>
      </c>
    </row>
    <row r="15" spans="1:5" x14ac:dyDescent="0.25">
      <c r="A15" s="1"/>
      <c r="B15" s="1">
        <v>3</v>
      </c>
      <c r="C15" s="1">
        <v>3</v>
      </c>
      <c r="D15" s="1">
        <f>B15*C15</f>
        <v>9</v>
      </c>
      <c r="E15" s="1" t="s">
        <v>95</v>
      </c>
    </row>
    <row r="16" spans="1:5" x14ac:dyDescent="0.25">
      <c r="A16" s="16"/>
      <c r="B16" s="16"/>
      <c r="C16" s="17" t="s">
        <v>87</v>
      </c>
      <c r="D16" s="16">
        <f>SUM(D13:D15)</f>
        <v>41</v>
      </c>
      <c r="E16" s="16"/>
    </row>
    <row r="17" spans="1:5" x14ac:dyDescent="0.25">
      <c r="A17" s="1" t="s">
        <v>70</v>
      </c>
      <c r="B17" s="1">
        <v>4</v>
      </c>
      <c r="C17" s="1">
        <v>1</v>
      </c>
      <c r="D17" s="1">
        <f>B17*C17</f>
        <v>4</v>
      </c>
      <c r="E17" s="1" t="s">
        <v>94</v>
      </c>
    </row>
    <row r="18" spans="1:5" x14ac:dyDescent="0.25">
      <c r="A18" s="16"/>
      <c r="B18" s="16"/>
      <c r="C18" s="17" t="s">
        <v>87</v>
      </c>
      <c r="D18" s="16">
        <f>SUM(D17)</f>
        <v>4</v>
      </c>
      <c r="E18" s="16"/>
    </row>
    <row r="19" spans="1:5" x14ac:dyDescent="0.25">
      <c r="A19" s="1" t="s">
        <v>71</v>
      </c>
      <c r="B19" s="1">
        <v>4</v>
      </c>
      <c r="C19" s="1">
        <v>4</v>
      </c>
      <c r="D19" s="1">
        <f>B19*C19</f>
        <v>16</v>
      </c>
      <c r="E19" s="1" t="s">
        <v>94</v>
      </c>
    </row>
    <row r="20" spans="1:5" x14ac:dyDescent="0.25">
      <c r="A20" s="16"/>
      <c r="B20" s="16"/>
      <c r="C20" s="17" t="s">
        <v>87</v>
      </c>
      <c r="D20" s="16">
        <f>SUM(D19)</f>
        <v>16</v>
      </c>
      <c r="E20" s="16"/>
    </row>
    <row r="21" spans="1:5" x14ac:dyDescent="0.25">
      <c r="A21" s="1" t="s">
        <v>98</v>
      </c>
      <c r="B21" s="1">
        <v>3</v>
      </c>
      <c r="C21" s="1">
        <v>3</v>
      </c>
      <c r="D21" s="1">
        <f>B21*C21</f>
        <v>9</v>
      </c>
      <c r="E21" s="1" t="s">
        <v>95</v>
      </c>
    </row>
    <row r="22" spans="1:5" x14ac:dyDescent="0.25">
      <c r="A22" s="16"/>
      <c r="B22" s="16"/>
      <c r="C22" s="17" t="s">
        <v>87</v>
      </c>
      <c r="D22" s="16">
        <f>SUM(D21)</f>
        <v>9</v>
      </c>
      <c r="E22" s="16"/>
    </row>
    <row r="23" spans="1:5" x14ac:dyDescent="0.25">
      <c r="A23" s="1" t="s">
        <v>99</v>
      </c>
      <c r="B23" s="1">
        <v>3</v>
      </c>
      <c r="C23" s="1">
        <v>2</v>
      </c>
      <c r="D23" s="1">
        <f>B23*C23</f>
        <v>6</v>
      </c>
      <c r="E23" s="1" t="s">
        <v>95</v>
      </c>
    </row>
    <row r="24" spans="1:5" x14ac:dyDescent="0.25">
      <c r="A24" s="16"/>
      <c r="B24" s="16"/>
      <c r="C24" s="17" t="s">
        <v>87</v>
      </c>
      <c r="D24" s="16">
        <f>SUM(D23)</f>
        <v>6</v>
      </c>
      <c r="E24" s="16"/>
    </row>
    <row r="25" spans="1:5" x14ac:dyDescent="0.25">
      <c r="A25" s="1" t="s">
        <v>36</v>
      </c>
      <c r="B25" s="1">
        <v>4</v>
      </c>
      <c r="C25" s="1">
        <v>8</v>
      </c>
      <c r="D25" s="1">
        <f>B25*C25</f>
        <v>32</v>
      </c>
      <c r="E25" s="1" t="s">
        <v>31</v>
      </c>
    </row>
    <row r="26" spans="1:5" x14ac:dyDescent="0.25">
      <c r="A26" s="16"/>
      <c r="B26" s="16"/>
      <c r="C26" s="17" t="s">
        <v>87</v>
      </c>
      <c r="D26" s="16">
        <f>SUM(D25)</f>
        <v>32</v>
      </c>
      <c r="E26" s="16"/>
    </row>
    <row r="27" spans="1:5" x14ac:dyDescent="0.25">
      <c r="A27" s="1" t="s">
        <v>72</v>
      </c>
      <c r="B27" s="1">
        <v>6</v>
      </c>
      <c r="C27" s="1">
        <v>2</v>
      </c>
      <c r="D27" s="1">
        <f>B27*C27</f>
        <v>12</v>
      </c>
      <c r="E27" s="1" t="s">
        <v>90</v>
      </c>
    </row>
    <row r="28" spans="1:5" x14ac:dyDescent="0.25">
      <c r="A28" s="16"/>
      <c r="B28" s="16"/>
      <c r="C28" s="17" t="s">
        <v>87</v>
      </c>
      <c r="D28" s="16">
        <f>SUM(D27)</f>
        <v>12</v>
      </c>
      <c r="E28" s="16"/>
    </row>
    <row r="29" spans="1:5" x14ac:dyDescent="0.25">
      <c r="A29" s="1" t="s">
        <v>91</v>
      </c>
      <c r="B29" s="1">
        <v>6</v>
      </c>
      <c r="C29" s="1">
        <v>1</v>
      </c>
      <c r="D29" s="1">
        <v>6</v>
      </c>
      <c r="E29" s="1" t="s">
        <v>92</v>
      </c>
    </row>
    <row r="30" spans="1:5" x14ac:dyDescent="0.25">
      <c r="A30" s="16"/>
      <c r="B30" s="16"/>
      <c r="C30" s="17" t="s">
        <v>87</v>
      </c>
      <c r="D30" s="16">
        <f>SUM(D29)</f>
        <v>6</v>
      </c>
      <c r="E30" s="16"/>
    </row>
    <row r="31" spans="1:5" x14ac:dyDescent="0.25">
      <c r="A31" t="s">
        <v>100</v>
      </c>
      <c r="B31">
        <v>2</v>
      </c>
      <c r="C31">
        <v>9</v>
      </c>
      <c r="D31">
        <f>B31*C31</f>
        <v>18</v>
      </c>
    </row>
    <row r="32" spans="1:5" x14ac:dyDescent="0.25">
      <c r="B32">
        <v>1</v>
      </c>
      <c r="C32">
        <v>8</v>
      </c>
      <c r="D32">
        <f>B32*C32</f>
        <v>8</v>
      </c>
    </row>
    <row r="33" spans="1:5" x14ac:dyDescent="0.25">
      <c r="A33" s="16"/>
      <c r="B33" s="16"/>
      <c r="C33" s="17" t="s">
        <v>87</v>
      </c>
      <c r="D33" s="16">
        <f>SUM(D31:D32)</f>
        <v>26</v>
      </c>
      <c r="E33" s="16"/>
    </row>
    <row r="34" spans="1:5" x14ac:dyDescent="0.25">
      <c r="A34" t="s">
        <v>101</v>
      </c>
      <c r="B34">
        <v>3</v>
      </c>
      <c r="C34">
        <v>8</v>
      </c>
      <c r="D34">
        <f>B34*C34</f>
        <v>24</v>
      </c>
    </row>
    <row r="35" spans="1:5" x14ac:dyDescent="0.25">
      <c r="B35">
        <v>2</v>
      </c>
      <c r="C35">
        <v>6</v>
      </c>
      <c r="D35">
        <f>B35*C35</f>
        <v>12</v>
      </c>
    </row>
    <row r="36" spans="1:5" x14ac:dyDescent="0.25">
      <c r="B36">
        <v>1</v>
      </c>
      <c r="C36">
        <v>19</v>
      </c>
      <c r="D36">
        <f>B36*C36</f>
        <v>19</v>
      </c>
    </row>
    <row r="37" spans="1:5" x14ac:dyDescent="0.25">
      <c r="A37" s="16"/>
      <c r="B37" s="16"/>
      <c r="C37" s="17" t="s">
        <v>87</v>
      </c>
      <c r="D37" s="16">
        <f>SUM(D34:D36)</f>
        <v>55</v>
      </c>
      <c r="E37" s="16"/>
    </row>
    <row r="38" spans="1:5" x14ac:dyDescent="0.25">
      <c r="A38" t="s">
        <v>102</v>
      </c>
      <c r="B38">
        <v>3</v>
      </c>
      <c r="C38">
        <v>8</v>
      </c>
      <c r="D38">
        <f t="shared" ref="D38:D43" si="0">B38*C38</f>
        <v>24</v>
      </c>
    </row>
    <row r="39" spans="1:5" x14ac:dyDescent="0.25">
      <c r="B39">
        <v>2</v>
      </c>
      <c r="C39">
        <v>6</v>
      </c>
      <c r="D39">
        <f t="shared" si="0"/>
        <v>12</v>
      </c>
    </row>
    <row r="40" spans="1:5" x14ac:dyDescent="0.25">
      <c r="B40">
        <v>1</v>
      </c>
      <c r="C40">
        <v>19</v>
      </c>
      <c r="D40">
        <f t="shared" si="0"/>
        <v>19</v>
      </c>
    </row>
    <row r="41" spans="1:5" x14ac:dyDescent="0.25">
      <c r="B41">
        <v>28</v>
      </c>
      <c r="C41">
        <v>2</v>
      </c>
      <c r="D41">
        <f t="shared" si="0"/>
        <v>56</v>
      </c>
    </row>
    <row r="42" spans="1:5" x14ac:dyDescent="0.25">
      <c r="B42">
        <v>2</v>
      </c>
      <c r="C42">
        <v>9</v>
      </c>
      <c r="D42">
        <f t="shared" si="0"/>
        <v>18</v>
      </c>
    </row>
    <row r="43" spans="1:5" x14ac:dyDescent="0.25">
      <c r="B43">
        <v>1</v>
      </c>
      <c r="C43">
        <v>8</v>
      </c>
      <c r="D43">
        <f t="shared" si="0"/>
        <v>8</v>
      </c>
    </row>
    <row r="44" spans="1:5" x14ac:dyDescent="0.25">
      <c r="A44" s="16"/>
      <c r="B44" s="16"/>
      <c r="C44" s="17" t="s">
        <v>87</v>
      </c>
      <c r="D44" s="16">
        <f>SUM(D38:D43)</f>
        <v>137</v>
      </c>
      <c r="E44" s="16"/>
    </row>
    <row r="45" spans="1:5" x14ac:dyDescent="0.25">
      <c r="A45" t="s">
        <v>103</v>
      </c>
      <c r="B45">
        <v>3</v>
      </c>
      <c r="C45">
        <v>2</v>
      </c>
      <c r="D45">
        <f>B45*C45</f>
        <v>6</v>
      </c>
    </row>
    <row r="46" spans="1:5" x14ac:dyDescent="0.25">
      <c r="B46">
        <v>4</v>
      </c>
      <c r="C46">
        <v>2</v>
      </c>
      <c r="D46">
        <f>B46*C46</f>
        <v>8</v>
      </c>
    </row>
    <row r="47" spans="1:5" x14ac:dyDescent="0.25">
      <c r="B47">
        <v>2</v>
      </c>
      <c r="C47">
        <v>2</v>
      </c>
      <c r="D47">
        <f>B47*C47</f>
        <v>4</v>
      </c>
    </row>
    <row r="48" spans="1:5" x14ac:dyDescent="0.25">
      <c r="A48" s="16"/>
      <c r="B48" s="16"/>
      <c r="C48" s="17" t="s">
        <v>87</v>
      </c>
      <c r="D48" s="16">
        <f>SUM(D45:D47)</f>
        <v>18</v>
      </c>
      <c r="E4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3-bogie 4WS</vt:lpstr>
      <vt:lpstr>tools</vt:lpstr>
      <vt:lpstr>hardware counter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Biesiadecki</dc:creator>
  <cp:lastModifiedBy>Wiktor Biesiadecki</cp:lastModifiedBy>
  <dcterms:created xsi:type="dcterms:W3CDTF">2026-01-10T11:24:25Z</dcterms:created>
  <dcterms:modified xsi:type="dcterms:W3CDTF">2026-05-12T14:57:20Z</dcterms:modified>
</cp:coreProperties>
</file>